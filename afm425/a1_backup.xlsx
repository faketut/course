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e\afm425\"/>
    </mc:Choice>
  </mc:AlternateContent>
  <xr:revisionPtr revIDLastSave="0" documentId="13_ncr:1_{A10A565E-A6A8-4BA0-A17F-2C7392A9B406}" xr6:coauthVersionLast="47" xr6:coauthVersionMax="47" xr10:uidLastSave="{00000000-0000-0000-0000-000000000000}"/>
  <bookViews>
    <workbookView xWindow="9008" yWindow="3218" windowWidth="11347" windowHeight="10432" activeTab="1" xr2:uid="{03A6DA1C-824E-418E-8160-188BB0BCF5D2}"/>
  </bookViews>
  <sheets>
    <sheet name="Case 2 - Amortization" sheetId="1" r:id="rId1"/>
    <sheet name="Case 3 - Z Sprea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1" l="1"/>
  <c r="C5" i="2"/>
  <c r="C6" i="2"/>
  <c r="C7" i="2"/>
  <c r="C8" i="2"/>
  <c r="C9" i="2"/>
  <c r="C4" i="2"/>
  <c r="E5" i="2"/>
  <c r="E6" i="2"/>
  <c r="E7" i="2"/>
  <c r="E8" i="2"/>
  <c r="E9" i="2"/>
  <c r="E4" i="2"/>
  <c r="F4" i="1"/>
  <c r="E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4" i="1"/>
  <c r="G3" i="1"/>
  <c r="D3" i="1"/>
  <c r="E3" i="1"/>
  <c r="F3" i="1"/>
  <c r="C3" i="1"/>
  <c r="E11" i="2" l="1"/>
  <c r="C11" i="2"/>
  <c r="G4" i="1"/>
  <c r="C5" i="1" s="1"/>
  <c r="E5" i="1" s="1"/>
  <c r="F5" i="1" s="1"/>
  <c r="G5" i="1" l="1"/>
  <c r="C6" i="1" s="1"/>
  <c r="E6" i="1" s="1"/>
  <c r="F6" i="1" s="1"/>
  <c r="G6" i="1" l="1"/>
  <c r="C7" i="1" s="1"/>
  <c r="E7" i="1" s="1"/>
  <c r="F7" i="1" s="1"/>
  <c r="G7" i="1" l="1"/>
  <c r="C8" i="1" s="1"/>
  <c r="E8" i="1" s="1"/>
  <c r="F8" i="1" s="1"/>
  <c r="G8" i="1" l="1"/>
  <c r="C9" i="1" s="1"/>
  <c r="E9" i="1" s="1"/>
  <c r="F9" i="1" s="1"/>
  <c r="G9" i="1" l="1"/>
  <c r="C10" i="1" s="1"/>
  <c r="E10" i="1" s="1"/>
  <c r="F10" i="1" s="1"/>
  <c r="G10" i="1" l="1"/>
  <c r="C11" i="1" s="1"/>
  <c r="E11" i="1" s="1"/>
  <c r="F11" i="1" s="1"/>
  <c r="G11" i="1" l="1"/>
  <c r="C12" i="1" s="1"/>
  <c r="E12" i="1" l="1"/>
  <c r="F12" i="1" l="1"/>
  <c r="G12" i="1" s="1"/>
  <c r="C13" i="1" s="1"/>
  <c r="E13" i="1" s="1"/>
  <c r="F13" i="1" l="1"/>
  <c r="G13" i="1" s="1"/>
  <c r="C14" i="1" s="1"/>
  <c r="E14" i="1" s="1"/>
  <c r="G14" i="1" l="1"/>
  <c r="C15" i="1" s="1"/>
  <c r="E15" i="1" s="1"/>
  <c r="F14" i="1"/>
  <c r="F15" i="1" l="1"/>
  <c r="G15" i="1" s="1"/>
  <c r="C16" i="1" s="1"/>
  <c r="E16" i="1" s="1"/>
  <c r="F16" i="1" l="1"/>
  <c r="G16" i="1" s="1"/>
  <c r="C17" i="1" s="1"/>
  <c r="E17" i="1" s="1"/>
  <c r="F17" i="1" l="1"/>
  <c r="G17" i="1" s="1"/>
  <c r="C18" i="1" s="1"/>
  <c r="E18" i="1" s="1"/>
  <c r="F18" i="1" l="1"/>
  <c r="G18" i="1" s="1"/>
  <c r="C19" i="1" s="1"/>
  <c r="E19" i="1" s="1"/>
  <c r="F19" i="1" l="1"/>
  <c r="G19" i="1" s="1"/>
  <c r="C20" i="1" s="1"/>
  <c r="E20" i="1" s="1"/>
  <c r="F20" i="1" l="1"/>
  <c r="G20" i="1" s="1"/>
  <c r="C21" i="1" s="1"/>
  <c r="E21" i="1" s="1"/>
  <c r="F21" i="1" l="1"/>
  <c r="G21" i="1" s="1"/>
  <c r="C22" i="1" s="1"/>
  <c r="E22" i="1" s="1"/>
  <c r="F22" i="1" l="1"/>
  <c r="G22" i="1" s="1"/>
</calcChain>
</file>

<file path=xl/sharedStrings.xml><?xml version="1.0" encoding="utf-8"?>
<sst xmlns="http://schemas.openxmlformats.org/spreadsheetml/2006/main" count="14" uniqueCount="13">
  <si>
    <t>period t</t>
    <phoneticPr fontId="2" type="noConversion"/>
  </si>
  <si>
    <t>date</t>
    <phoneticPr fontId="2" type="noConversion"/>
  </si>
  <si>
    <t>begin. book value</t>
    <phoneticPr fontId="2" type="noConversion"/>
  </si>
  <si>
    <t>coupon</t>
    <phoneticPr fontId="2" type="noConversion"/>
  </si>
  <si>
    <t>disc. amort.</t>
    <phoneticPr fontId="2" type="noConversion"/>
  </si>
  <si>
    <t>end. book val.</t>
    <phoneticPr fontId="2" type="noConversion"/>
  </si>
  <si>
    <t>interest exp.</t>
    <phoneticPr fontId="2" type="noConversion"/>
  </si>
  <si>
    <t>k</t>
    <phoneticPr fontId="2" type="noConversion"/>
  </si>
  <si>
    <t>PV_k</t>
    <phoneticPr fontId="2" type="noConversion"/>
  </si>
  <si>
    <t>z_k</t>
    <phoneticPr fontId="2" type="noConversion"/>
  </si>
  <si>
    <t>CF_k</t>
    <phoneticPr fontId="2" type="noConversion"/>
  </si>
  <si>
    <t>r=</t>
    <phoneticPr fontId="2" type="noConversion"/>
  </si>
  <si>
    <t>s=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</si>
</sst>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76" formatCode="&quot;$&quot;#,##0.00_);[Red]\(&quot;$&quot;#,##0.00\)"/>
  </numFmts>
  <fonts count="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8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1" applyNumberFormat="1" applyFon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29A3D-0C7B-4BEF-B0A3-0F7D4052BB5E}">
  <dimension ref="A1:G22"/>
  <sheetViews>
    <sheetView workbookViewId="0">
      <selection activeCell="F3" sqref="F3"/>
    </sheetView>
  </sheetViews>
  <sheetFormatPr defaultRowHeight="13.9" x14ac:dyDescent="0.4"/>
  <cols>
    <col min="2" max="2" width="11.1328125" bestFit="1" customWidth="1"/>
    <col min="3" max="3" width="15.3984375" customWidth="1"/>
    <col min="5" max="5" width="11.19921875" bestFit="1" customWidth="1"/>
    <col min="6" max="6" width="10.6640625" bestFit="1" customWidth="1"/>
    <col min="7" max="7" width="13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</row>
    <row r="2" spans="1:7" x14ac:dyDescent="0.4">
      <c r="A2">
        <v>0</v>
      </c>
      <c r="B2" s="1">
        <v>46249</v>
      </c>
      <c r="G2" s="2">
        <v>83.740099999999998</v>
      </c>
    </row>
    <row r="3" spans="1:7" x14ac:dyDescent="0.4">
      <c r="A3">
        <v>1</v>
      </c>
      <c r="B3" s="1">
        <v>46433</v>
      </c>
      <c r="C3" s="2">
        <f>G2</f>
        <v>83.740099999999998</v>
      </c>
      <c r="D3" s="4">
        <f>100*0.065/2</f>
        <v>3.25</v>
      </c>
      <c r="E3" s="3">
        <f>C3*(0.09/2)</f>
        <v>3.7683044999999997</v>
      </c>
      <c r="F3" s="3">
        <f>E3-D3</f>
        <v>0.51830449999999972</v>
      </c>
      <c r="G3" s="2">
        <f>C3+F3</f>
        <v>84.258404499999997</v>
      </c>
    </row>
    <row r="4" spans="1:7" x14ac:dyDescent="0.4">
      <c r="A4">
        <v>2</v>
      </c>
      <c r="B4" s="1">
        <v>46614</v>
      </c>
      <c r="C4" s="2">
        <f t="shared" ref="C4:C9" si="0">G3</f>
        <v>84.258404499999997</v>
      </c>
      <c r="D4" s="4">
        <f>100*0.065/2</f>
        <v>3.25</v>
      </c>
      <c r="E4" s="3">
        <f t="shared" ref="E4:E22" si="1">C4*(0.09/2)</f>
        <v>3.7916282024999997</v>
      </c>
      <c r="F4" s="3">
        <f t="shared" ref="F4:F22" si="2">E4-D4</f>
        <v>0.54162820249999966</v>
      </c>
      <c r="G4" s="2">
        <f t="shared" ref="G4:G11" si="3">C4+F4</f>
        <v>84.80003270249999</v>
      </c>
    </row>
    <row r="5" spans="1:7" x14ac:dyDescent="0.4">
      <c r="A5">
        <v>3</v>
      </c>
      <c r="B5" s="1">
        <v>46798</v>
      </c>
      <c r="C5" s="2">
        <f t="shared" si="0"/>
        <v>84.80003270249999</v>
      </c>
      <c r="D5" s="4">
        <f t="shared" ref="D4:D22" si="4">100*0.065/2</f>
        <v>3.25</v>
      </c>
      <c r="E5" s="3">
        <f t="shared" si="1"/>
        <v>3.8160014716124993</v>
      </c>
      <c r="F5" s="3">
        <f t="shared" si="2"/>
        <v>0.56600147161249925</v>
      </c>
      <c r="G5" s="2">
        <f t="shared" si="3"/>
        <v>85.366034174112485</v>
      </c>
    </row>
    <row r="6" spans="1:7" x14ac:dyDescent="0.4">
      <c r="A6">
        <v>4</v>
      </c>
      <c r="B6" s="1">
        <v>46980</v>
      </c>
      <c r="C6" s="2">
        <f t="shared" si="0"/>
        <v>85.366034174112485</v>
      </c>
      <c r="D6" s="4">
        <f t="shared" si="4"/>
        <v>3.25</v>
      </c>
      <c r="E6" s="3">
        <f t="shared" si="1"/>
        <v>3.8414715378350617</v>
      </c>
      <c r="F6" s="3">
        <f t="shared" si="2"/>
        <v>0.59147153783506168</v>
      </c>
      <c r="G6" s="2">
        <f t="shared" si="3"/>
        <v>85.957505711947547</v>
      </c>
    </row>
    <row r="7" spans="1:7" x14ac:dyDescent="0.4">
      <c r="A7">
        <v>5</v>
      </c>
      <c r="B7" s="1">
        <v>47164</v>
      </c>
      <c r="C7" s="2">
        <f t="shared" si="0"/>
        <v>85.957505711947547</v>
      </c>
      <c r="D7" s="4">
        <f t="shared" si="4"/>
        <v>3.25</v>
      </c>
      <c r="E7" s="3">
        <f t="shared" si="1"/>
        <v>3.8680877570376393</v>
      </c>
      <c r="F7" s="3">
        <f t="shared" si="2"/>
        <v>0.6180877570376393</v>
      </c>
      <c r="G7" s="2">
        <f t="shared" si="3"/>
        <v>86.57559346898519</v>
      </c>
    </row>
    <row r="8" spans="1:7" x14ac:dyDescent="0.4">
      <c r="A8">
        <v>6</v>
      </c>
      <c r="B8" s="1">
        <v>47345</v>
      </c>
      <c r="C8" s="2">
        <f t="shared" si="0"/>
        <v>86.57559346898519</v>
      </c>
      <c r="D8" s="4">
        <f t="shared" si="4"/>
        <v>3.25</v>
      </c>
      <c r="E8" s="3">
        <f t="shared" si="1"/>
        <v>3.8959017061043335</v>
      </c>
      <c r="F8" s="3">
        <f t="shared" si="2"/>
        <v>0.64590170610433351</v>
      </c>
      <c r="G8" s="2">
        <f t="shared" si="3"/>
        <v>87.22149517508953</v>
      </c>
    </row>
    <row r="9" spans="1:7" x14ac:dyDescent="0.4">
      <c r="A9">
        <v>7</v>
      </c>
      <c r="B9" s="1">
        <v>47529</v>
      </c>
      <c r="C9" s="2">
        <f t="shared" si="0"/>
        <v>87.22149517508953</v>
      </c>
      <c r="D9" s="4">
        <f t="shared" si="4"/>
        <v>3.25</v>
      </c>
      <c r="E9" s="3">
        <f t="shared" si="1"/>
        <v>3.9249672828790287</v>
      </c>
      <c r="F9" s="3">
        <f t="shared" si="2"/>
        <v>0.67496728287902874</v>
      </c>
      <c r="G9" s="2">
        <f t="shared" si="3"/>
        <v>87.896462457968553</v>
      </c>
    </row>
    <row r="10" spans="1:7" x14ac:dyDescent="0.4">
      <c r="A10">
        <v>8</v>
      </c>
      <c r="B10" s="1">
        <v>47710</v>
      </c>
      <c r="C10" s="2">
        <f>G9</f>
        <v>87.896462457968553</v>
      </c>
      <c r="D10" s="4">
        <f t="shared" si="4"/>
        <v>3.25</v>
      </c>
      <c r="E10" s="3">
        <f t="shared" si="1"/>
        <v>3.9553408106085848</v>
      </c>
      <c r="F10" s="3">
        <f t="shared" si="2"/>
        <v>0.70534081060858478</v>
      </c>
      <c r="G10" s="2">
        <f t="shared" si="3"/>
        <v>88.601803268577143</v>
      </c>
    </row>
    <row r="11" spans="1:7" x14ac:dyDescent="0.4">
      <c r="A11">
        <v>9</v>
      </c>
      <c r="B11" s="1">
        <v>47894</v>
      </c>
      <c r="C11" s="2">
        <f>G10</f>
        <v>88.601803268577143</v>
      </c>
      <c r="D11" s="4">
        <f t="shared" si="4"/>
        <v>3.25</v>
      </c>
      <c r="E11" s="3">
        <f t="shared" si="1"/>
        <v>3.9870811470859713</v>
      </c>
      <c r="F11" s="3">
        <f t="shared" si="2"/>
        <v>0.73708114708597128</v>
      </c>
      <c r="G11" s="2">
        <f t="shared" si="3"/>
        <v>89.338884415663117</v>
      </c>
    </row>
    <row r="12" spans="1:7" x14ac:dyDescent="0.4">
      <c r="A12">
        <v>10</v>
      </c>
      <c r="B12" s="1">
        <v>48075</v>
      </c>
      <c r="C12" s="2">
        <f t="shared" ref="C12:C22" si="5">G11</f>
        <v>89.338884415663117</v>
      </c>
      <c r="D12" s="4">
        <f t="shared" si="4"/>
        <v>3.25</v>
      </c>
      <c r="E12" s="3">
        <f t="shared" si="1"/>
        <v>4.0202497987048398</v>
      </c>
      <c r="F12" s="3">
        <f t="shared" si="2"/>
        <v>0.77024979870483978</v>
      </c>
      <c r="G12" s="2">
        <f t="shared" ref="G12:G22" si="6">C12+F12</f>
        <v>90.109134214367955</v>
      </c>
    </row>
    <row r="13" spans="1:7" x14ac:dyDescent="0.4">
      <c r="A13">
        <v>11</v>
      </c>
      <c r="B13" s="1">
        <v>48259</v>
      </c>
      <c r="C13" s="2">
        <f t="shared" si="5"/>
        <v>90.109134214367955</v>
      </c>
      <c r="D13" s="4">
        <f t="shared" si="4"/>
        <v>3.25</v>
      </c>
      <c r="E13" s="3">
        <f t="shared" si="1"/>
        <v>4.0549110396465577</v>
      </c>
      <c r="F13" s="3">
        <f t="shared" si="2"/>
        <v>0.80491103964655775</v>
      </c>
      <c r="G13" s="2">
        <f t="shared" si="6"/>
        <v>90.914045254014511</v>
      </c>
    </row>
    <row r="14" spans="1:7" x14ac:dyDescent="0.4">
      <c r="A14">
        <v>12</v>
      </c>
      <c r="B14" s="1">
        <v>48441</v>
      </c>
      <c r="C14" s="2">
        <f t="shared" si="5"/>
        <v>90.914045254014511</v>
      </c>
      <c r="D14" s="4">
        <f t="shared" si="4"/>
        <v>3.25</v>
      </c>
      <c r="E14" s="3">
        <f t="shared" si="1"/>
        <v>4.0911320364306532</v>
      </c>
      <c r="F14" s="3">
        <f t="shared" si="2"/>
        <v>0.84113203643065315</v>
      </c>
      <c r="G14" s="2">
        <f t="shared" si="6"/>
        <v>91.755177290445161</v>
      </c>
    </row>
    <row r="15" spans="1:7" x14ac:dyDescent="0.4">
      <c r="A15">
        <v>13</v>
      </c>
      <c r="B15" s="1">
        <v>48625</v>
      </c>
      <c r="C15" s="2">
        <f t="shared" si="5"/>
        <v>91.755177290445161</v>
      </c>
      <c r="D15" s="4">
        <f t="shared" si="4"/>
        <v>3.25</v>
      </c>
      <c r="E15" s="3">
        <f t="shared" si="1"/>
        <v>4.1289829780700318</v>
      </c>
      <c r="F15" s="3">
        <f t="shared" si="2"/>
        <v>0.87898297807003178</v>
      </c>
      <c r="G15" s="2">
        <f t="shared" si="6"/>
        <v>92.634160268515188</v>
      </c>
    </row>
    <row r="16" spans="1:7" x14ac:dyDescent="0.4">
      <c r="A16">
        <v>14</v>
      </c>
      <c r="B16" s="1">
        <v>48806</v>
      </c>
      <c r="C16" s="2">
        <f t="shared" si="5"/>
        <v>92.634160268515188</v>
      </c>
      <c r="D16" s="4">
        <f t="shared" si="4"/>
        <v>3.25</v>
      </c>
      <c r="E16" s="3">
        <f t="shared" si="1"/>
        <v>4.1685372120831836</v>
      </c>
      <c r="F16" s="3">
        <f t="shared" si="2"/>
        <v>0.91853721208318362</v>
      </c>
      <c r="G16" s="2">
        <f t="shared" si="6"/>
        <v>93.552697480598368</v>
      </c>
    </row>
    <row r="17" spans="1:7" x14ac:dyDescent="0.4">
      <c r="A17">
        <v>15</v>
      </c>
      <c r="B17" s="1">
        <v>48990</v>
      </c>
      <c r="C17" s="2">
        <f t="shared" si="5"/>
        <v>93.552697480598368</v>
      </c>
      <c r="D17" s="4">
        <f t="shared" si="4"/>
        <v>3.25</v>
      </c>
      <c r="E17" s="3">
        <f t="shared" si="1"/>
        <v>4.2098713866269266</v>
      </c>
      <c r="F17" s="3">
        <f t="shared" si="2"/>
        <v>0.95987138662692661</v>
      </c>
      <c r="G17" s="2">
        <f t="shared" si="6"/>
        <v>94.512568867225298</v>
      </c>
    </row>
    <row r="18" spans="1:7" x14ac:dyDescent="0.4">
      <c r="A18">
        <v>16</v>
      </c>
      <c r="B18" s="1">
        <v>49171</v>
      </c>
      <c r="C18" s="2">
        <f t="shared" si="5"/>
        <v>94.512568867225298</v>
      </c>
      <c r="D18" s="4">
        <f t="shared" si="4"/>
        <v>3.25</v>
      </c>
      <c r="E18" s="3">
        <f t="shared" si="1"/>
        <v>4.2530655990251383</v>
      </c>
      <c r="F18" s="3">
        <f t="shared" si="2"/>
        <v>1.0030655990251383</v>
      </c>
      <c r="G18" s="2">
        <f t="shared" si="6"/>
        <v>95.515634466250432</v>
      </c>
    </row>
    <row r="19" spans="1:7" x14ac:dyDescent="0.4">
      <c r="A19">
        <v>17</v>
      </c>
      <c r="B19" s="1">
        <v>49355</v>
      </c>
      <c r="C19" s="2">
        <f t="shared" si="5"/>
        <v>95.515634466250432</v>
      </c>
      <c r="D19" s="4">
        <f t="shared" si="4"/>
        <v>3.25</v>
      </c>
      <c r="E19" s="3">
        <f t="shared" si="1"/>
        <v>4.2982035509812695</v>
      </c>
      <c r="F19" s="3">
        <f t="shared" si="2"/>
        <v>1.0482035509812695</v>
      </c>
      <c r="G19" s="2">
        <f t="shared" si="6"/>
        <v>96.563838017231703</v>
      </c>
    </row>
    <row r="20" spans="1:7" x14ac:dyDescent="0.4">
      <c r="A20">
        <v>18</v>
      </c>
      <c r="B20" s="1">
        <v>49536</v>
      </c>
      <c r="C20" s="2">
        <f t="shared" si="5"/>
        <v>96.563838017231703</v>
      </c>
      <c r="D20" s="4">
        <f t="shared" si="4"/>
        <v>3.25</v>
      </c>
      <c r="E20" s="3">
        <f t="shared" si="1"/>
        <v>4.3453727107754263</v>
      </c>
      <c r="F20" s="3">
        <f t="shared" si="2"/>
        <v>1.0953727107754263</v>
      </c>
      <c r="G20" s="2">
        <f t="shared" si="6"/>
        <v>97.659210728007125</v>
      </c>
    </row>
    <row r="21" spans="1:7" x14ac:dyDescent="0.4">
      <c r="A21">
        <v>19</v>
      </c>
      <c r="B21" s="1">
        <v>49720</v>
      </c>
      <c r="C21" s="2">
        <f t="shared" si="5"/>
        <v>97.659210728007125</v>
      </c>
      <c r="D21" s="4">
        <f t="shared" si="4"/>
        <v>3.25</v>
      </c>
      <c r="E21" s="3">
        <f t="shared" si="1"/>
        <v>4.3946644827603203</v>
      </c>
      <c r="F21" s="3">
        <f t="shared" si="2"/>
        <v>1.1446644827603203</v>
      </c>
      <c r="G21" s="2">
        <f t="shared" si="6"/>
        <v>98.803875210767444</v>
      </c>
    </row>
    <row r="22" spans="1:7" x14ac:dyDescent="0.4">
      <c r="A22">
        <v>20</v>
      </c>
      <c r="B22" s="1">
        <v>49902</v>
      </c>
      <c r="C22" s="2">
        <f t="shared" si="5"/>
        <v>98.803875210767444</v>
      </c>
      <c r="D22" s="4">
        <f t="shared" si="4"/>
        <v>3.25</v>
      </c>
      <c r="E22" s="3">
        <f t="shared" si="1"/>
        <v>4.4461743844845349</v>
      </c>
      <c r="F22" s="3">
        <f t="shared" si="2"/>
        <v>1.1961743844845349</v>
      </c>
      <c r="G22" s="2">
        <f t="shared" si="6"/>
        <v>100.00004959525198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D0F22-3045-4351-8EC1-D2362220D5AA}">
  <dimension ref="A1:E11"/>
  <sheetViews>
    <sheetView tabSelected="1" workbookViewId="0">
      <selection activeCell="G3" sqref="G3"/>
    </sheetView>
  </sheetViews>
  <sheetFormatPr defaultRowHeight="13.9" x14ac:dyDescent="0.4"/>
  <sheetData>
    <row r="1" spans="1:5" x14ac:dyDescent="0.4">
      <c r="B1" s="6" t="s">
        <v>11</v>
      </c>
      <c r="C1" s="5">
        <v>3.5297026305169087E-2</v>
      </c>
      <c r="D1" s="6" t="s">
        <v>12</v>
      </c>
      <c r="E1" s="5">
        <v>1.1258464444423183E-2</v>
      </c>
    </row>
    <row r="3" spans="1:5" x14ac:dyDescent="0.4">
      <c r="A3" s="7" t="s">
        <v>7</v>
      </c>
      <c r="B3" s="7" t="s">
        <v>10</v>
      </c>
      <c r="C3" s="7" t="s">
        <v>8</v>
      </c>
      <c r="D3" s="7" t="s">
        <v>9</v>
      </c>
      <c r="E3" s="7" t="s">
        <v>8</v>
      </c>
    </row>
    <row r="4" spans="1:5" x14ac:dyDescent="0.4">
      <c r="A4">
        <v>1</v>
      </c>
      <c r="B4" s="3">
        <v>2.6749999999999998</v>
      </c>
      <c r="C4" s="3">
        <f>B4/(1+$C$1)^A4</f>
        <v>2.583799558998737</v>
      </c>
      <c r="D4" s="5">
        <v>5.4386999999999998E-2</v>
      </c>
      <c r="E4" s="3">
        <f>B4/(1+D4/2+$E$1)^A4</f>
        <v>2.5759496746978927</v>
      </c>
    </row>
    <row r="5" spans="1:5" x14ac:dyDescent="0.4">
      <c r="A5">
        <v>2</v>
      </c>
      <c r="B5" s="3">
        <v>2.6749999999999998</v>
      </c>
      <c r="C5" s="3">
        <f t="shared" ref="C5:C9" si="0">B5/(1+$C$1)^A5</f>
        <v>2.495708471432549</v>
      </c>
      <c r="D5" s="5">
        <v>5.6791000000000001E-2</v>
      </c>
      <c r="E5" s="3">
        <f t="shared" ref="E5:E9" si="1">B5/(1+D5/2+$E$1)^A5</f>
        <v>2.4748344818505794</v>
      </c>
    </row>
    <row r="6" spans="1:5" x14ac:dyDescent="0.4">
      <c r="A6">
        <v>3</v>
      </c>
      <c r="B6" s="3">
        <v>2.6749999999999998</v>
      </c>
      <c r="C6" s="3">
        <f t="shared" si="0"/>
        <v>2.4106207281782552</v>
      </c>
      <c r="D6" s="5">
        <v>6.0194999999999999E-2</v>
      </c>
      <c r="E6" s="3">
        <f t="shared" si="1"/>
        <v>2.3687878122231334</v>
      </c>
    </row>
    <row r="7" spans="1:5" x14ac:dyDescent="0.4">
      <c r="A7">
        <v>4</v>
      </c>
      <c r="B7" s="3">
        <v>2.6749999999999998</v>
      </c>
      <c r="C7" s="3">
        <f t="shared" si="0"/>
        <v>2.3284339343477352</v>
      </c>
      <c r="D7" s="5">
        <v>5.4107000000000002E-2</v>
      </c>
      <c r="E7" s="3">
        <f t="shared" si="1"/>
        <v>2.3015072787168718</v>
      </c>
    </row>
    <row r="8" spans="1:5" x14ac:dyDescent="0.4">
      <c r="A8">
        <v>5</v>
      </c>
      <c r="B8" s="3">
        <v>2.6749999999999998</v>
      </c>
      <c r="C8" s="3">
        <f t="shared" si="0"/>
        <v>2.2490491860655601</v>
      </c>
      <c r="D8" s="5">
        <v>5.0900000000000001E-2</v>
      </c>
      <c r="E8" s="3">
        <f t="shared" si="1"/>
        <v>2.2337808534527319</v>
      </c>
    </row>
    <row r="9" spans="1:5" x14ac:dyDescent="0.4">
      <c r="A9">
        <v>6</v>
      </c>
      <c r="B9" s="3">
        <v>102.675</v>
      </c>
      <c r="C9" s="3">
        <f t="shared" si="0"/>
        <v>83.382499977530884</v>
      </c>
      <c r="D9" s="5">
        <v>4.761E-2</v>
      </c>
      <c r="E9" s="3">
        <f t="shared" si="1"/>
        <v>83.495455146749052</v>
      </c>
    </row>
    <row r="10" spans="1:5" x14ac:dyDescent="0.4">
      <c r="E10" s="3"/>
    </row>
    <row r="11" spans="1:5" x14ac:dyDescent="0.4">
      <c r="C11" s="3">
        <f>SUM(C4:C9)</f>
        <v>95.450111856553718</v>
      </c>
      <c r="E11" s="3">
        <f>SUM(E4:E9)</f>
        <v>95.450315247690256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2 - Amortization</vt:lpstr>
      <vt:lpstr>Case 3 - Z Spread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Feng</dc:creator>
  <cp:lastModifiedBy>Jian Feng</cp:lastModifiedBy>
  <dcterms:created xsi:type="dcterms:W3CDTF">2026-09-23T18:29:51Z</dcterms:created>
  <dcterms:modified xsi:type="dcterms:W3CDTF">2026-09-28T23:31:05Z</dcterms:modified>
</cp:coreProperties>
</file>