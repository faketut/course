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\afm425\"/>
    </mc:Choice>
  </mc:AlternateContent>
  <xr:revisionPtr revIDLastSave="0" documentId="13_ncr:1_{A3AF209F-B1AB-4E4A-BAA7-764F10D413FA}" xr6:coauthVersionLast="47" xr6:coauthVersionMax="47" xr10:uidLastSave="{00000000-0000-0000-0000-000000000000}"/>
  <bookViews>
    <workbookView xWindow="30" yWindow="2903" windowWidth="11347" windowHeight="10432" activeTab="1" xr2:uid="{00000000-000D-0000-FFFF-FFFF00000000}"/>
  </bookViews>
  <sheets>
    <sheet name="Case 2 - Amortization" sheetId="1" r:id="rId1"/>
    <sheet name="Case 3 - Z Spread" sheetId="2" r:id="rId2"/>
    <sheet name="Case 3 - Bootstrap" sheetId="3" r:id="rId3"/>
    <sheet name="Case 3 - Q2 Q3" sheetId="4" r:id="rId4"/>
    <sheet name="Case 1 - Bond Price" sheetId="5" r:id="rId5"/>
  </sheets>
  <calcPr calcId="191029"/>
</workbook>
</file>

<file path=xl/calcChain.xml><?xml version="1.0" encoding="utf-8"?>
<calcChain xmlns="http://schemas.openxmlformats.org/spreadsheetml/2006/main">
  <c r="B21" i="5" l="1"/>
  <c r="B13" i="5"/>
  <c r="B12" i="5"/>
  <c r="B9" i="5"/>
  <c r="B16" i="5" s="1"/>
  <c r="D4" i="3"/>
  <c r="E4" i="3" s="1"/>
  <c r="C10" i="4" s="1"/>
  <c r="D10" i="4" s="1"/>
  <c r="E10" i="4" s="1"/>
  <c r="E9" i="2"/>
  <c r="C9" i="2"/>
  <c r="E8" i="2"/>
  <c r="C8" i="2"/>
  <c r="E7" i="2"/>
  <c r="C7" i="2"/>
  <c r="E6" i="2"/>
  <c r="C6" i="2"/>
  <c r="E5" i="2"/>
  <c r="C5" i="2"/>
  <c r="E4" i="2"/>
  <c r="C4" i="2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3" i="1"/>
  <c r="E3" i="1" s="1"/>
  <c r="F3" i="1" s="1"/>
  <c r="G3" i="1" s="1"/>
  <c r="C4" i="1" s="1"/>
  <c r="D5" i="3" l="1"/>
  <c r="C11" i="2"/>
  <c r="E11" i="2"/>
  <c r="E4" i="1"/>
  <c r="F4" i="1" s="1"/>
  <c r="G4" i="1" s="1"/>
  <c r="C5" i="1" s="1"/>
  <c r="E5" i="3"/>
  <c r="C11" i="4" s="1"/>
  <c r="D11" i="4" s="1"/>
  <c r="E11" i="4" s="1"/>
  <c r="D7" i="3"/>
  <c r="E7" i="3" s="1"/>
  <c r="C13" i="4" s="1"/>
  <c r="D13" i="4" s="1"/>
  <c r="E13" i="4" s="1"/>
  <c r="B14" i="5"/>
  <c r="B15" i="5" s="1"/>
  <c r="B17" i="5" s="1"/>
  <c r="D6" i="3"/>
  <c r="E6" i="3" s="1"/>
  <c r="C12" i="4" s="1"/>
  <c r="D12" i="4" s="1"/>
  <c r="E12" i="4" s="1"/>
  <c r="D8" i="3" l="1"/>
  <c r="E8" i="3" s="1"/>
  <c r="C14" i="4" s="1"/>
  <c r="D14" i="4" s="1"/>
  <c r="E14" i="4" s="1"/>
  <c r="E5" i="1"/>
  <c r="F5" i="1" s="1"/>
  <c r="G5" i="1" s="1"/>
  <c r="C6" i="1" s="1"/>
  <c r="D9" i="3" l="1"/>
  <c r="E9" i="3" s="1"/>
  <c r="C15" i="4" s="1"/>
  <c r="D15" i="4" s="1"/>
  <c r="E15" i="4" s="1"/>
  <c r="B16" i="4"/>
  <c r="E6" i="1"/>
  <c r="F6" i="1" s="1"/>
  <c r="G6" i="1" s="1"/>
  <c r="C7" i="1" s="1"/>
  <c r="B3" i="4"/>
  <c r="B4" i="4" s="1"/>
  <c r="B5" i="4" s="1"/>
  <c r="B6" i="4" s="1"/>
  <c r="E7" i="1" l="1"/>
  <c r="F7" i="1" s="1"/>
  <c r="G7" i="1"/>
  <c r="C8" i="1" s="1"/>
  <c r="E8" i="1" l="1"/>
  <c r="F8" i="1" s="1"/>
  <c r="G8" i="1"/>
  <c r="C9" i="1" s="1"/>
  <c r="E9" i="1" l="1"/>
  <c r="F9" i="1" s="1"/>
  <c r="G9" i="1" s="1"/>
  <c r="C10" i="1" s="1"/>
  <c r="E10" i="1" l="1"/>
  <c r="F10" i="1" s="1"/>
  <c r="G10" i="1"/>
  <c r="C11" i="1" s="1"/>
  <c r="E11" i="1" l="1"/>
  <c r="F11" i="1" s="1"/>
  <c r="G11" i="1" s="1"/>
  <c r="C12" i="1" s="1"/>
  <c r="E12" i="1" l="1"/>
  <c r="F12" i="1" s="1"/>
  <c r="G12" i="1" s="1"/>
  <c r="C13" i="1" s="1"/>
  <c r="E13" i="1" l="1"/>
  <c r="F13" i="1" s="1"/>
  <c r="G13" i="1" s="1"/>
  <c r="C14" i="1" s="1"/>
  <c r="E14" i="1" l="1"/>
  <c r="F14" i="1" s="1"/>
  <c r="G14" i="1" s="1"/>
  <c r="C15" i="1" s="1"/>
  <c r="E15" i="1" l="1"/>
  <c r="F15" i="1" s="1"/>
  <c r="G15" i="1"/>
  <c r="C16" i="1" s="1"/>
  <c r="E16" i="1" l="1"/>
  <c r="F16" i="1" s="1"/>
  <c r="G16" i="1"/>
  <c r="C17" i="1" s="1"/>
  <c r="E17" i="1" l="1"/>
  <c r="F17" i="1" s="1"/>
  <c r="G17" i="1" s="1"/>
  <c r="C18" i="1" s="1"/>
  <c r="E18" i="1" l="1"/>
  <c r="F18" i="1" s="1"/>
  <c r="G18" i="1"/>
  <c r="C19" i="1" s="1"/>
  <c r="E19" i="1" l="1"/>
  <c r="F19" i="1" s="1"/>
  <c r="G19" i="1"/>
  <c r="C20" i="1" s="1"/>
  <c r="E20" i="1" l="1"/>
  <c r="F20" i="1" s="1"/>
  <c r="G20" i="1"/>
  <c r="C21" i="1" s="1"/>
  <c r="E21" i="1" l="1"/>
  <c r="F21" i="1" s="1"/>
  <c r="G21" i="1" s="1"/>
  <c r="C22" i="1" s="1"/>
  <c r="E22" i="1" l="1"/>
  <c r="F22" i="1" s="1"/>
  <c r="G22" i="1" s="1"/>
</calcChain>
</file>

<file path=xl/sharedStrings.xml><?xml version="1.0" encoding="utf-8"?>
<sst xmlns="http://schemas.openxmlformats.org/spreadsheetml/2006/main" count="52" uniqueCount="46">
  <si>
    <t>period t</t>
  </si>
  <si>
    <t>date</t>
  </si>
  <si>
    <t>begin. book value</t>
  </si>
  <si>
    <t>coupon</t>
  </si>
  <si>
    <t>interest exp.</t>
  </si>
  <si>
    <t>disc. amort.</t>
  </si>
  <si>
    <t>end. book val.</t>
  </si>
  <si>
    <t>Goal Seek -&gt;</t>
  </si>
  <si>
    <t>r=</t>
  </si>
  <si>
    <t>s=</t>
  </si>
  <si>
    <t>k</t>
  </si>
  <si>
    <t>CF_k</t>
  </si>
  <si>
    <t>PV_k</t>
  </si>
  <si>
    <t>z_k</t>
  </si>
  <si>
    <t>SUM</t>
  </si>
  <si>
    <t>Zero-coupon curve bootstrapped from the observed Treasury securities</t>
  </si>
  <si>
    <t>Tenor (yrs)</t>
  </si>
  <si>
    <t>Coupon rate</t>
  </si>
  <si>
    <t>Price</t>
  </si>
  <si>
    <t>d_t</t>
  </si>
  <si>
    <t>z_t</t>
  </si>
  <si>
    <t>Case 3 Part 2 - Pure expectations: 5% coupon, 2.5-year note, six months from now</t>
  </si>
  <si>
    <t>P_0 = PV today of the note cash flows</t>
  </si>
  <si>
    <t>P_0.5 = P_0 / d(0.5)</t>
  </si>
  <si>
    <t>Semi-annual yield r</t>
  </si>
  <si>
    <t>YTM = 2 x r</t>
  </si>
  <si>
    <t>Case 3 Part 3 - 6% coupon, 3-year corporate bond, z-spread = 150 bps</t>
  </si>
  <si>
    <t>rate = z_k/2 + 0.75%</t>
  </si>
  <si>
    <t>Case 1 - Heavy Equipment Bond (settlement 2026-07-03)</t>
  </si>
  <si>
    <t>Inputs</t>
  </si>
  <si>
    <t>Annual coupon</t>
  </si>
  <si>
    <t>Coupon frequency</t>
  </si>
  <si>
    <t>Annual YTM</t>
  </si>
  <si>
    <t>Par</t>
  </si>
  <si>
    <t>N (periods remaining)</t>
  </si>
  <si>
    <t>f (fraction of period)</t>
  </si>
  <si>
    <t>Calculations</t>
  </si>
  <si>
    <t>Semi-annual coupon rate c</t>
  </si>
  <si>
    <t>Semi-annual yield i</t>
  </si>
  <si>
    <t>A = (1-(1+i)^(-N))/i</t>
  </si>
  <si>
    <t>Full price FP</t>
  </si>
  <si>
    <t>Accrued interest AI = f*Par*c</t>
  </si>
  <si>
    <t>Clean (quoted) price</t>
  </si>
  <si>
    <t>Rock Bond - monthly 8.6% converted to semi-annual bond-equivalent</t>
  </si>
  <si>
    <t>APR (monthly)</t>
  </si>
  <si>
    <t>APR_2 = 2*((1+APR_12/12)^12)^(1/2)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</si>
</sst>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\-&quot;$&quot;#,##0.00"/>
    <numFmt numFmtId="44" formatCode="_-&quot;$&quot;* #,##0.00_-;\-&quot;$&quot;* #,##0.00_-;_-&quot;$&quot;* &quot;-&quot;??_-;_-@_-"/>
    <numFmt numFmtId="176" formatCode="&quot;$&quot;#,##0.00_);[Red]\(&quot;$&quot;#,##0.00\)"/>
    <numFmt numFmtId="177" formatCode="0.0000%"/>
    <numFmt numFmtId="178" formatCode="0.000000"/>
    <numFmt numFmtId="179" formatCode="0.0000"/>
    <numFmt numFmtId="180" formatCode="0.00000%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charset val="134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>
      <alignment vertical="center"/>
    </xf>
  </cellStyleXfs>
  <cellXfs count="20">
    <xf numFmtId="0" fontId="0" fillId="0" borderId="0" xfId="0">
      <alignment vertical="center"/>
    </xf>
    <xf numFmtId="14" fontId="0" fillId="0" borderId="0" xfId="0" applyNumberFormat="1">
      <alignment vertical="center"/>
    </xf>
    <xf numFmtId="8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3" fillId="0" borderId="0" xfId="0" applyFont="1" applyAlignment="1"/>
    <xf numFmtId="177" fontId="3" fillId="0" borderId="0" xfId="0" applyNumberFormat="1" applyFont="1">
      <alignment vertical="center"/>
    </xf>
    <xf numFmtId="0" fontId="3" fillId="2" borderId="0" xfId="0" applyFont="1" applyFill="1" applyAlignment="1"/>
    <xf numFmtId="178" fontId="0" fillId="0" borderId="0" xfId="0" applyNumberFormat="1" applyAlignment="1"/>
    <xf numFmtId="177" fontId="0" fillId="0" borderId="0" xfId="0" applyNumberFormat="1" applyAlignment="1"/>
    <xf numFmtId="179" fontId="0" fillId="0" borderId="0" xfId="0" applyNumberFormat="1" applyAlignment="1"/>
    <xf numFmtId="10" fontId="0" fillId="0" borderId="0" xfId="0" applyNumberFormat="1" applyAlignment="1"/>
    <xf numFmtId="1" fontId="0" fillId="0" borderId="0" xfId="0" applyNumberFormat="1" applyAlignment="1"/>
    <xf numFmtId="2" fontId="0" fillId="0" borderId="0" xfId="0" applyNumberFormat="1" applyAlignment="1"/>
    <xf numFmtId="180" fontId="0" fillId="0" borderId="0" xfId="0" applyNumberFormat="1" applyAlignment="1"/>
    <xf numFmtId="0" fontId="4" fillId="0" borderId="0" xfId="0" applyFo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F3" sqref="F3"/>
    </sheetView>
  </sheetViews>
  <sheetFormatPr defaultRowHeight="13.9" x14ac:dyDescent="0.4"/>
  <cols>
    <col min="2" max="2" width="11.1328125" style="8" bestFit="1" customWidth="1"/>
    <col min="3" max="3" width="15.3984375" style="8" customWidth="1"/>
    <col min="5" max="5" width="11.19921875" style="8" bestFit="1" customWidth="1"/>
    <col min="6" max="6" width="10.6640625" style="8" bestFit="1" customWidth="1"/>
    <col min="7" max="7" width="13" style="8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0</v>
      </c>
      <c r="B2" s="1">
        <v>46249</v>
      </c>
      <c r="G2" s="2">
        <v>83.740099999999998</v>
      </c>
    </row>
    <row r="3" spans="1:7" x14ac:dyDescent="0.4">
      <c r="A3">
        <v>1</v>
      </c>
      <c r="B3" s="1">
        <v>46433</v>
      </c>
      <c r="C3" s="2">
        <f t="shared" ref="C3:C22" si="0">G2</f>
        <v>83.740099999999998</v>
      </c>
      <c r="D3" s="4">
        <f t="shared" ref="D3:D22" si="1">100*0.065/2</f>
        <v>3.25</v>
      </c>
      <c r="E3" s="3">
        <f t="shared" ref="E3:E22" si="2">C3*(0.09/2)</f>
        <v>3.7683044999999997</v>
      </c>
      <c r="F3" s="3">
        <f t="shared" ref="F3:F22" si="3">E3-D3</f>
        <v>0.51830449999999972</v>
      </c>
      <c r="G3" s="2">
        <f t="shared" ref="G3:G22" si="4">C3+F3</f>
        <v>84.258404499999997</v>
      </c>
    </row>
    <row r="4" spans="1:7" x14ac:dyDescent="0.4">
      <c r="A4">
        <v>2</v>
      </c>
      <c r="B4" s="1">
        <v>46614</v>
      </c>
      <c r="C4" s="2">
        <f t="shared" si="0"/>
        <v>84.258404499999997</v>
      </c>
      <c r="D4" s="4">
        <f t="shared" si="1"/>
        <v>3.25</v>
      </c>
      <c r="E4" s="3">
        <f t="shared" si="2"/>
        <v>3.7916282024999997</v>
      </c>
      <c r="F4" s="3">
        <f t="shared" si="3"/>
        <v>0.54162820249999966</v>
      </c>
      <c r="G4" s="2">
        <f t="shared" si="4"/>
        <v>84.80003270249999</v>
      </c>
    </row>
    <row r="5" spans="1:7" x14ac:dyDescent="0.4">
      <c r="A5">
        <v>3</v>
      </c>
      <c r="B5" s="1">
        <v>46798</v>
      </c>
      <c r="C5" s="2">
        <f t="shared" si="0"/>
        <v>84.80003270249999</v>
      </c>
      <c r="D5" s="4">
        <f t="shared" si="1"/>
        <v>3.25</v>
      </c>
      <c r="E5" s="3">
        <f t="shared" si="2"/>
        <v>3.8160014716124993</v>
      </c>
      <c r="F5" s="3">
        <f t="shared" si="3"/>
        <v>0.56600147161249925</v>
      </c>
      <c r="G5" s="2">
        <f t="shared" si="4"/>
        <v>85.366034174112485</v>
      </c>
    </row>
    <row r="6" spans="1:7" x14ac:dyDescent="0.4">
      <c r="A6">
        <v>4</v>
      </c>
      <c r="B6" s="1">
        <v>46980</v>
      </c>
      <c r="C6" s="2">
        <f t="shared" si="0"/>
        <v>85.366034174112485</v>
      </c>
      <c r="D6" s="4">
        <f t="shared" si="1"/>
        <v>3.25</v>
      </c>
      <c r="E6" s="3">
        <f t="shared" si="2"/>
        <v>3.8414715378350617</v>
      </c>
      <c r="F6" s="3">
        <f t="shared" si="3"/>
        <v>0.59147153783506168</v>
      </c>
      <c r="G6" s="2">
        <f t="shared" si="4"/>
        <v>85.957505711947547</v>
      </c>
    </row>
    <row r="7" spans="1:7" x14ac:dyDescent="0.4">
      <c r="A7">
        <v>5</v>
      </c>
      <c r="B7" s="1">
        <v>47164</v>
      </c>
      <c r="C7" s="2">
        <f t="shared" si="0"/>
        <v>85.957505711947547</v>
      </c>
      <c r="D7" s="4">
        <f t="shared" si="1"/>
        <v>3.25</v>
      </c>
      <c r="E7" s="3">
        <f t="shared" si="2"/>
        <v>3.8680877570376393</v>
      </c>
      <c r="F7" s="3">
        <f t="shared" si="3"/>
        <v>0.6180877570376393</v>
      </c>
      <c r="G7" s="2">
        <f t="shared" si="4"/>
        <v>86.57559346898519</v>
      </c>
    </row>
    <row r="8" spans="1:7" x14ac:dyDescent="0.4">
      <c r="A8">
        <v>6</v>
      </c>
      <c r="B8" s="1">
        <v>47345</v>
      </c>
      <c r="C8" s="2">
        <f t="shared" si="0"/>
        <v>86.57559346898519</v>
      </c>
      <c r="D8" s="4">
        <f t="shared" si="1"/>
        <v>3.25</v>
      </c>
      <c r="E8" s="3">
        <f t="shared" si="2"/>
        <v>3.8959017061043335</v>
      </c>
      <c r="F8" s="3">
        <f t="shared" si="3"/>
        <v>0.64590170610433351</v>
      </c>
      <c r="G8" s="2">
        <f t="shared" si="4"/>
        <v>87.22149517508953</v>
      </c>
    </row>
    <row r="9" spans="1:7" x14ac:dyDescent="0.4">
      <c r="A9">
        <v>7</v>
      </c>
      <c r="B9" s="1">
        <v>47529</v>
      </c>
      <c r="C9" s="2">
        <f t="shared" si="0"/>
        <v>87.22149517508953</v>
      </c>
      <c r="D9" s="4">
        <f t="shared" si="1"/>
        <v>3.25</v>
      </c>
      <c r="E9" s="3">
        <f t="shared" si="2"/>
        <v>3.9249672828790287</v>
      </c>
      <c r="F9" s="3">
        <f t="shared" si="3"/>
        <v>0.67496728287902874</v>
      </c>
      <c r="G9" s="2">
        <f t="shared" si="4"/>
        <v>87.896462457968553</v>
      </c>
    </row>
    <row r="10" spans="1:7" x14ac:dyDescent="0.4">
      <c r="A10">
        <v>8</v>
      </c>
      <c r="B10" s="1">
        <v>47710</v>
      </c>
      <c r="C10" s="2">
        <f t="shared" si="0"/>
        <v>87.896462457968553</v>
      </c>
      <c r="D10" s="4">
        <f t="shared" si="1"/>
        <v>3.25</v>
      </c>
      <c r="E10" s="3">
        <f t="shared" si="2"/>
        <v>3.9553408106085848</v>
      </c>
      <c r="F10" s="3">
        <f t="shared" si="3"/>
        <v>0.70534081060858478</v>
      </c>
      <c r="G10" s="2">
        <f t="shared" si="4"/>
        <v>88.601803268577143</v>
      </c>
    </row>
    <row r="11" spans="1:7" x14ac:dyDescent="0.4">
      <c r="A11">
        <v>9</v>
      </c>
      <c r="B11" s="1">
        <v>47894</v>
      </c>
      <c r="C11" s="2">
        <f t="shared" si="0"/>
        <v>88.601803268577143</v>
      </c>
      <c r="D11" s="4">
        <f t="shared" si="1"/>
        <v>3.25</v>
      </c>
      <c r="E11" s="3">
        <f t="shared" si="2"/>
        <v>3.9870811470859713</v>
      </c>
      <c r="F11" s="3">
        <f t="shared" si="3"/>
        <v>0.73708114708597128</v>
      </c>
      <c r="G11" s="2">
        <f t="shared" si="4"/>
        <v>89.338884415663117</v>
      </c>
    </row>
    <row r="12" spans="1:7" x14ac:dyDescent="0.4">
      <c r="A12">
        <v>10</v>
      </c>
      <c r="B12" s="1">
        <v>48075</v>
      </c>
      <c r="C12" s="2">
        <f t="shared" si="0"/>
        <v>89.338884415663117</v>
      </c>
      <c r="D12" s="4">
        <f t="shared" si="1"/>
        <v>3.25</v>
      </c>
      <c r="E12" s="3">
        <f t="shared" si="2"/>
        <v>4.0202497987048398</v>
      </c>
      <c r="F12" s="3">
        <f t="shared" si="3"/>
        <v>0.77024979870483978</v>
      </c>
      <c r="G12" s="2">
        <f t="shared" si="4"/>
        <v>90.109134214367955</v>
      </c>
    </row>
    <row r="13" spans="1:7" x14ac:dyDescent="0.4">
      <c r="A13">
        <v>11</v>
      </c>
      <c r="B13" s="1">
        <v>48259</v>
      </c>
      <c r="C13" s="2">
        <f t="shared" si="0"/>
        <v>90.109134214367955</v>
      </c>
      <c r="D13" s="4">
        <f t="shared" si="1"/>
        <v>3.25</v>
      </c>
      <c r="E13" s="3">
        <f t="shared" si="2"/>
        <v>4.0549110396465577</v>
      </c>
      <c r="F13" s="3">
        <f t="shared" si="3"/>
        <v>0.80491103964655775</v>
      </c>
      <c r="G13" s="2">
        <f t="shared" si="4"/>
        <v>90.914045254014511</v>
      </c>
    </row>
    <row r="14" spans="1:7" x14ac:dyDescent="0.4">
      <c r="A14">
        <v>12</v>
      </c>
      <c r="B14" s="1">
        <v>48441</v>
      </c>
      <c r="C14" s="2">
        <f t="shared" si="0"/>
        <v>90.914045254014511</v>
      </c>
      <c r="D14" s="4">
        <f t="shared" si="1"/>
        <v>3.25</v>
      </c>
      <c r="E14" s="3">
        <f t="shared" si="2"/>
        <v>4.0911320364306532</v>
      </c>
      <c r="F14" s="3">
        <f t="shared" si="3"/>
        <v>0.84113203643065315</v>
      </c>
      <c r="G14" s="2">
        <f t="shared" si="4"/>
        <v>91.755177290445161</v>
      </c>
    </row>
    <row r="15" spans="1:7" x14ac:dyDescent="0.4">
      <c r="A15">
        <v>13</v>
      </c>
      <c r="B15" s="1">
        <v>48625</v>
      </c>
      <c r="C15" s="2">
        <f t="shared" si="0"/>
        <v>91.755177290445161</v>
      </c>
      <c r="D15" s="4">
        <f t="shared" si="1"/>
        <v>3.25</v>
      </c>
      <c r="E15" s="3">
        <f t="shared" si="2"/>
        <v>4.1289829780700318</v>
      </c>
      <c r="F15" s="3">
        <f t="shared" si="3"/>
        <v>0.87898297807003178</v>
      </c>
      <c r="G15" s="2">
        <f t="shared" si="4"/>
        <v>92.634160268515188</v>
      </c>
    </row>
    <row r="16" spans="1:7" x14ac:dyDescent="0.4">
      <c r="A16">
        <v>14</v>
      </c>
      <c r="B16" s="1">
        <v>48806</v>
      </c>
      <c r="C16" s="2">
        <f t="shared" si="0"/>
        <v>92.634160268515188</v>
      </c>
      <c r="D16" s="4">
        <f t="shared" si="1"/>
        <v>3.25</v>
      </c>
      <c r="E16" s="3">
        <f t="shared" si="2"/>
        <v>4.1685372120831836</v>
      </c>
      <c r="F16" s="3">
        <f t="shared" si="3"/>
        <v>0.91853721208318362</v>
      </c>
      <c r="G16" s="2">
        <f t="shared" si="4"/>
        <v>93.552697480598368</v>
      </c>
    </row>
    <row r="17" spans="1:7" x14ac:dyDescent="0.4">
      <c r="A17">
        <v>15</v>
      </c>
      <c r="B17" s="1">
        <v>48990</v>
      </c>
      <c r="C17" s="2">
        <f t="shared" si="0"/>
        <v>93.552697480598368</v>
      </c>
      <c r="D17" s="4">
        <f t="shared" si="1"/>
        <v>3.25</v>
      </c>
      <c r="E17" s="3">
        <f t="shared" si="2"/>
        <v>4.2098713866269266</v>
      </c>
      <c r="F17" s="3">
        <f t="shared" si="3"/>
        <v>0.95987138662692661</v>
      </c>
      <c r="G17" s="2">
        <f t="shared" si="4"/>
        <v>94.512568867225298</v>
      </c>
    </row>
    <row r="18" spans="1:7" x14ac:dyDescent="0.4">
      <c r="A18">
        <v>16</v>
      </c>
      <c r="B18" s="1">
        <v>49171</v>
      </c>
      <c r="C18" s="2">
        <f t="shared" si="0"/>
        <v>94.512568867225298</v>
      </c>
      <c r="D18" s="4">
        <f t="shared" si="1"/>
        <v>3.25</v>
      </c>
      <c r="E18" s="3">
        <f t="shared" si="2"/>
        <v>4.2530655990251383</v>
      </c>
      <c r="F18" s="3">
        <f t="shared" si="3"/>
        <v>1.0030655990251383</v>
      </c>
      <c r="G18" s="2">
        <f t="shared" si="4"/>
        <v>95.515634466250432</v>
      </c>
    </row>
    <row r="19" spans="1:7" x14ac:dyDescent="0.4">
      <c r="A19">
        <v>17</v>
      </c>
      <c r="B19" s="1">
        <v>49355</v>
      </c>
      <c r="C19" s="2">
        <f t="shared" si="0"/>
        <v>95.515634466250432</v>
      </c>
      <c r="D19" s="4">
        <f t="shared" si="1"/>
        <v>3.25</v>
      </c>
      <c r="E19" s="3">
        <f t="shared" si="2"/>
        <v>4.2982035509812695</v>
      </c>
      <c r="F19" s="3">
        <f t="shared" si="3"/>
        <v>1.0482035509812695</v>
      </c>
      <c r="G19" s="2">
        <f t="shared" si="4"/>
        <v>96.563838017231703</v>
      </c>
    </row>
    <row r="20" spans="1:7" x14ac:dyDescent="0.4">
      <c r="A20">
        <v>18</v>
      </c>
      <c r="B20" s="1">
        <v>49536</v>
      </c>
      <c r="C20" s="2">
        <f t="shared" si="0"/>
        <v>96.563838017231703</v>
      </c>
      <c r="D20" s="4">
        <f t="shared" si="1"/>
        <v>3.25</v>
      </c>
      <c r="E20" s="3">
        <f t="shared" si="2"/>
        <v>4.3453727107754263</v>
      </c>
      <c r="F20" s="3">
        <f t="shared" si="3"/>
        <v>1.0953727107754263</v>
      </c>
      <c r="G20" s="2">
        <f t="shared" si="4"/>
        <v>97.659210728007125</v>
      </c>
    </row>
    <row r="21" spans="1:7" x14ac:dyDescent="0.4">
      <c r="A21">
        <v>19</v>
      </c>
      <c r="B21" s="1">
        <v>49720</v>
      </c>
      <c r="C21" s="2">
        <f t="shared" si="0"/>
        <v>97.659210728007125</v>
      </c>
      <c r="D21" s="4">
        <f t="shared" si="1"/>
        <v>3.25</v>
      </c>
      <c r="E21" s="3">
        <f t="shared" si="2"/>
        <v>4.3946644827603203</v>
      </c>
      <c r="F21" s="3">
        <f t="shared" si="3"/>
        <v>1.1446644827603203</v>
      </c>
      <c r="G21" s="2">
        <f t="shared" si="4"/>
        <v>98.803875210767444</v>
      </c>
    </row>
    <row r="22" spans="1:7" x14ac:dyDescent="0.4">
      <c r="A22">
        <v>20</v>
      </c>
      <c r="B22" s="1">
        <v>49902</v>
      </c>
      <c r="C22" s="2">
        <f t="shared" si="0"/>
        <v>98.803875210767444</v>
      </c>
      <c r="D22" s="4">
        <f t="shared" si="1"/>
        <v>3.25</v>
      </c>
      <c r="E22" s="3">
        <f t="shared" si="2"/>
        <v>4.4461743844845349</v>
      </c>
      <c r="F22" s="3">
        <f t="shared" si="3"/>
        <v>1.1961743844845349</v>
      </c>
      <c r="G22" s="2">
        <f t="shared" si="4"/>
        <v>100.00004959525198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C14" sqref="C14"/>
    </sheetView>
  </sheetViews>
  <sheetFormatPr defaultRowHeight="13.9" x14ac:dyDescent="0.4"/>
  <sheetData>
    <row r="1" spans="1:5" x14ac:dyDescent="0.4">
      <c r="A1" s="9" t="s">
        <v>7</v>
      </c>
      <c r="B1" s="6" t="s">
        <v>8</v>
      </c>
      <c r="C1" s="10">
        <v>3.5297026305169087E-2</v>
      </c>
      <c r="D1" s="6" t="s">
        <v>9</v>
      </c>
      <c r="E1" s="10">
        <v>1.1289769480067879E-2</v>
      </c>
    </row>
    <row r="3" spans="1:5" x14ac:dyDescent="0.4">
      <c r="A3" s="7" t="s">
        <v>10</v>
      </c>
      <c r="B3" s="7" t="s">
        <v>11</v>
      </c>
      <c r="C3" s="7" t="s">
        <v>12</v>
      </c>
      <c r="D3" s="7" t="s">
        <v>13</v>
      </c>
      <c r="E3" s="7" t="s">
        <v>12</v>
      </c>
    </row>
    <row r="4" spans="1:5" x14ac:dyDescent="0.4">
      <c r="A4">
        <v>1</v>
      </c>
      <c r="B4" s="3">
        <v>2.6749999999999998</v>
      </c>
      <c r="C4" s="3">
        <f t="shared" ref="C4:C9" si="0">B4/(1+$C$1)^A4</f>
        <v>2.583799558998737</v>
      </c>
      <c r="D4" s="5">
        <v>5.4387999999999999E-2</v>
      </c>
      <c r="E4" s="3">
        <f t="shared" ref="E4:E9" si="1">B4/(1+D4/2+$E$1)^A4</f>
        <v>2.5758707825922764</v>
      </c>
    </row>
    <row r="5" spans="1:5" x14ac:dyDescent="0.4">
      <c r="A5">
        <v>2</v>
      </c>
      <c r="B5" s="3">
        <v>2.6749999999999998</v>
      </c>
      <c r="C5" s="3">
        <f t="shared" si="0"/>
        <v>2.495708471432549</v>
      </c>
      <c r="D5" s="5">
        <v>5.6791000000000001E-2</v>
      </c>
      <c r="E5" s="3">
        <f t="shared" si="1"/>
        <v>2.4746854490277497</v>
      </c>
    </row>
    <row r="6" spans="1:5" x14ac:dyDescent="0.4">
      <c r="A6">
        <v>3</v>
      </c>
      <c r="B6" s="3">
        <v>2.6749999999999998</v>
      </c>
      <c r="C6" s="3">
        <f t="shared" si="0"/>
        <v>2.4106207281782552</v>
      </c>
      <c r="D6" s="5">
        <v>6.0158000000000003E-2</v>
      </c>
      <c r="E6" s="3">
        <f t="shared" si="1"/>
        <v>2.3687004309602719</v>
      </c>
    </row>
    <row r="7" spans="1:5" x14ac:dyDescent="0.4">
      <c r="A7">
        <v>4</v>
      </c>
      <c r="B7" s="3">
        <v>2.6749999999999998</v>
      </c>
      <c r="C7" s="3">
        <f t="shared" si="0"/>
        <v>2.3284339343477352</v>
      </c>
      <c r="D7" s="5">
        <v>5.4116999999999998E-2</v>
      </c>
      <c r="E7" s="3">
        <f t="shared" si="1"/>
        <v>2.3011854139856349</v>
      </c>
    </row>
    <row r="8" spans="1:5" x14ac:dyDescent="0.4">
      <c r="A8">
        <v>5</v>
      </c>
      <c r="B8" s="3">
        <v>2.6749999999999998</v>
      </c>
      <c r="C8" s="3">
        <f t="shared" si="0"/>
        <v>2.2490491860655601</v>
      </c>
      <c r="D8" s="5">
        <v>5.0885E-2</v>
      </c>
      <c r="E8" s="3">
        <f t="shared" si="1"/>
        <v>2.2335244092747937</v>
      </c>
    </row>
    <row r="9" spans="1:5" x14ac:dyDescent="0.4">
      <c r="A9">
        <v>6</v>
      </c>
      <c r="B9" s="3">
        <v>102.675</v>
      </c>
      <c r="C9" s="3">
        <f t="shared" si="0"/>
        <v>83.382499977530884</v>
      </c>
      <c r="D9" s="5">
        <v>4.7544999999999997E-2</v>
      </c>
      <c r="E9" s="3">
        <f t="shared" si="1"/>
        <v>83.496033514159265</v>
      </c>
    </row>
    <row r="10" spans="1:5" x14ac:dyDescent="0.4">
      <c r="E10" s="3"/>
    </row>
    <row r="11" spans="1:5" x14ac:dyDescent="0.4">
      <c r="A11" s="19" t="s">
        <v>14</v>
      </c>
      <c r="C11" s="3">
        <f>SUM(C4:C9)</f>
        <v>95.450111856553718</v>
      </c>
      <c r="E11" s="3">
        <f>SUM(E4:E9)</f>
        <v>95.449999999999989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G8" sqref="G8"/>
    </sheetView>
  </sheetViews>
  <sheetFormatPr defaultRowHeight="13.9" x14ac:dyDescent="0.4"/>
  <sheetData>
    <row r="1" spans="1:5" x14ac:dyDescent="0.4">
      <c r="A1" s="9" t="s">
        <v>15</v>
      </c>
    </row>
    <row r="3" spans="1:5" x14ac:dyDescent="0.4">
      <c r="A3" s="11" t="s">
        <v>16</v>
      </c>
      <c r="B3" s="11" t="s">
        <v>17</v>
      </c>
      <c r="C3" s="11" t="s">
        <v>18</v>
      </c>
      <c r="D3" s="11" t="s">
        <v>19</v>
      </c>
      <c r="E3" s="11" t="s">
        <v>20</v>
      </c>
    </row>
    <row r="4" spans="1:5" x14ac:dyDescent="0.4">
      <c r="A4">
        <v>0.5</v>
      </c>
      <c r="B4" s="5">
        <v>3.7499999999999999E-2</v>
      </c>
      <c r="C4">
        <v>99.177975000000004</v>
      </c>
      <c r="D4" s="12">
        <f>C4/(100+100*B4/2)</f>
        <v>0.97352613496932516</v>
      </c>
      <c r="E4" s="13">
        <f t="shared" ref="E4:E9" si="0">2*(D4^(-1/(A4*2))-1)</f>
        <v>5.4387579500387861E-2</v>
      </c>
    </row>
    <row r="5" spans="1:5" x14ac:dyDescent="0.4">
      <c r="A5">
        <v>1</v>
      </c>
      <c r="B5" s="5">
        <v>5.0500000000000003E-2</v>
      </c>
      <c r="C5">
        <v>99.399570999999995</v>
      </c>
      <c r="D5" s="12">
        <f>(C5-(100*B5/2)*SUM($D$4:D4))/(100+100*B5/2)</f>
        <v>0.94553930757573712</v>
      </c>
      <c r="E5" s="13">
        <f t="shared" si="0"/>
        <v>5.6791182112938099E-2</v>
      </c>
    </row>
    <row r="6" spans="1:5" x14ac:dyDescent="0.4">
      <c r="A6">
        <v>1.5</v>
      </c>
      <c r="B6" s="5">
        <v>6.3899999999999998E-2</v>
      </c>
      <c r="C6">
        <v>100.54778</v>
      </c>
      <c r="D6" s="12">
        <f>(C6-(100*B6/2)*SUM($D$4:D5))/(100+100*B6/2)</f>
        <v>0.91493159466125806</v>
      </c>
      <c r="E6" s="13">
        <f t="shared" si="0"/>
        <v>6.0157643898958835E-2</v>
      </c>
    </row>
    <row r="7" spans="1:5" x14ac:dyDescent="0.4">
      <c r="A7">
        <v>2</v>
      </c>
      <c r="B7" s="5">
        <v>2.4400000000000002E-2</v>
      </c>
      <c r="C7">
        <v>94.424925999999999</v>
      </c>
      <c r="D7" s="12">
        <f>(C7-(100*B7/2)*SUM($D$4:D6))/(100+100*B7/2)</f>
        <v>0.89871023132393091</v>
      </c>
      <c r="E7" s="13">
        <f t="shared" si="0"/>
        <v>5.4116514408166339E-2</v>
      </c>
    </row>
    <row r="8" spans="1:5" x14ac:dyDescent="0.4">
      <c r="A8">
        <v>2.5</v>
      </c>
      <c r="B8" s="5">
        <v>7.2999999999999995E-2</v>
      </c>
      <c r="C8">
        <v>105.03830499999999</v>
      </c>
      <c r="D8" s="12">
        <f>(C8-(100*B8/2)*SUM($D$4:D7))/(100+100*B8/2)</f>
        <v>0.88194812802570732</v>
      </c>
      <c r="E8" s="13">
        <f t="shared" si="0"/>
        <v>5.0885370276575692E-2</v>
      </c>
    </row>
    <row r="9" spans="1:5" x14ac:dyDescent="0.4">
      <c r="A9">
        <v>3</v>
      </c>
      <c r="B9" s="5">
        <v>6.4699999999999994E-2</v>
      </c>
      <c r="C9">
        <v>104.589915</v>
      </c>
      <c r="D9" s="12">
        <f>(C9-(100*B9/2)*SUM($D$4:D8))/(100+100*B9/2)</f>
        <v>0.86851847524716885</v>
      </c>
      <c r="E9" s="13">
        <f t="shared" si="0"/>
        <v>4.7545142352303227E-2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B16" sqref="B16"/>
    </sheetView>
  </sheetViews>
  <sheetFormatPr defaultRowHeight="13.9" x14ac:dyDescent="0.4"/>
  <cols>
    <col min="1" max="1" width="12.53125" style="8" customWidth="1"/>
  </cols>
  <sheetData>
    <row r="1" spans="1:5" x14ac:dyDescent="0.4">
      <c r="A1" s="9" t="s">
        <v>21</v>
      </c>
    </row>
    <row r="3" spans="1:5" x14ac:dyDescent="0.4">
      <c r="A3" t="s">
        <v>22</v>
      </c>
      <c r="B3" s="14">
        <f>2.5*('Case 3 - Bootstrap'!D5+'Case 3 - Bootstrap'!D6+'Case 3 - Bootstrap'!D7+'Case 3 - Bootstrap'!D8)+102.5*'Case 3 - Bootstrap'!D9</f>
        <v>98.125966866801392</v>
      </c>
    </row>
    <row r="4" spans="1:5" x14ac:dyDescent="0.4">
      <c r="A4" t="s">
        <v>23</v>
      </c>
      <c r="B4" s="14">
        <f>B3/'Case 3 - Bootstrap'!D4</f>
        <v>100.79438377881169</v>
      </c>
    </row>
    <row r="5" spans="1:5" x14ac:dyDescent="0.4">
      <c r="A5" t="s">
        <v>24</v>
      </c>
      <c r="B5" s="13">
        <f>RATE(5,2.5,-B4,100)</f>
        <v>2.3298480190225332E-2</v>
      </c>
    </row>
    <row r="6" spans="1:5" x14ac:dyDescent="0.4">
      <c r="A6" t="s">
        <v>25</v>
      </c>
      <c r="B6" s="13">
        <f>2*B5</f>
        <v>4.6596960380450664E-2</v>
      </c>
    </row>
    <row r="8" spans="1:5" x14ac:dyDescent="0.4">
      <c r="A8" s="9" t="s">
        <v>26</v>
      </c>
    </row>
    <row r="9" spans="1:5" x14ac:dyDescent="0.4">
      <c r="A9" s="11" t="s">
        <v>10</v>
      </c>
      <c r="B9" s="11" t="s">
        <v>11</v>
      </c>
      <c r="C9" s="11" t="s">
        <v>13</v>
      </c>
      <c r="D9" s="11" t="s">
        <v>27</v>
      </c>
      <c r="E9" s="11" t="s">
        <v>12</v>
      </c>
    </row>
    <row r="10" spans="1:5" x14ac:dyDescent="0.4">
      <c r="A10">
        <v>1</v>
      </c>
      <c r="B10">
        <v>3</v>
      </c>
      <c r="C10">
        <f>'Case 3 - Bootstrap'!E4</f>
        <v>5.4387579500387861E-2</v>
      </c>
      <c r="D10" s="13">
        <f t="shared" ref="D10:D15" si="0">C10/2+0.0075</f>
        <v>3.469378975019393E-2</v>
      </c>
      <c r="E10">
        <f t="shared" ref="E10:E15" si="1">B10/(1+D10)^A10</f>
        <v>2.8994085300582402</v>
      </c>
    </row>
    <row r="11" spans="1:5" x14ac:dyDescent="0.4">
      <c r="A11">
        <v>2</v>
      </c>
      <c r="B11">
        <v>3</v>
      </c>
      <c r="C11">
        <f>'Case 3 - Bootstrap'!E5</f>
        <v>5.6791182112938099E-2</v>
      </c>
      <c r="D11" s="13">
        <f t="shared" si="0"/>
        <v>3.5895591056469049E-2</v>
      </c>
      <c r="E11">
        <f t="shared" si="1"/>
        <v>2.7956917536489625</v>
      </c>
    </row>
    <row r="12" spans="1:5" x14ac:dyDescent="0.4">
      <c r="A12">
        <v>3</v>
      </c>
      <c r="B12">
        <v>3</v>
      </c>
      <c r="C12">
        <f>'Case 3 - Bootstrap'!E6</f>
        <v>6.0157643898958835E-2</v>
      </c>
      <c r="D12" s="13">
        <f t="shared" si="0"/>
        <v>3.7578821949479417E-2</v>
      </c>
      <c r="E12">
        <f t="shared" si="1"/>
        <v>2.6857028399944043</v>
      </c>
    </row>
    <row r="13" spans="1:5" x14ac:dyDescent="0.4">
      <c r="A13">
        <v>4</v>
      </c>
      <c r="B13">
        <v>3</v>
      </c>
      <c r="C13">
        <f>'Case 3 - Bootstrap'!E7</f>
        <v>5.4116514408166339E-2</v>
      </c>
      <c r="D13" s="13">
        <f t="shared" si="0"/>
        <v>3.4558257204083169E-2</v>
      </c>
      <c r="E13">
        <f t="shared" si="1"/>
        <v>2.6187946764485712</v>
      </c>
    </row>
    <row r="14" spans="1:5" x14ac:dyDescent="0.4">
      <c r="A14">
        <v>5</v>
      </c>
      <c r="B14">
        <v>3</v>
      </c>
      <c r="C14">
        <f>'Case 3 - Bootstrap'!E8</f>
        <v>5.0885370276575692E-2</v>
      </c>
      <c r="D14" s="13">
        <f t="shared" si="0"/>
        <v>3.2942685138287846E-2</v>
      </c>
      <c r="E14">
        <f t="shared" si="1"/>
        <v>2.5511743055387552</v>
      </c>
    </row>
    <row r="15" spans="1:5" x14ac:dyDescent="0.4">
      <c r="A15">
        <v>6</v>
      </c>
      <c r="B15">
        <v>103</v>
      </c>
      <c r="C15">
        <f>'Case 3 - Bootstrap'!E9</f>
        <v>4.7545142352303227E-2</v>
      </c>
      <c r="D15" s="13">
        <f t="shared" si="0"/>
        <v>3.1272571176151613E-2</v>
      </c>
      <c r="E15">
        <f t="shared" si="1"/>
        <v>85.624179534662019</v>
      </c>
    </row>
    <row r="16" spans="1:5" x14ac:dyDescent="0.4">
      <c r="A16" s="9" t="s">
        <v>18</v>
      </c>
      <c r="B16" s="14">
        <f>SUM(E10:E15)</f>
        <v>99.174951640350955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topLeftCell="A6" workbookViewId="0">
      <selection activeCell="A12" sqref="A12"/>
    </sheetView>
  </sheetViews>
  <sheetFormatPr defaultRowHeight="13.9" x14ac:dyDescent="0.4"/>
  <cols>
    <col min="1" max="1" width="65.46484375" style="8" bestFit="1" customWidth="1"/>
    <col min="2" max="2" width="9.46484375" style="8" bestFit="1" customWidth="1"/>
  </cols>
  <sheetData>
    <row r="1" spans="1:2" x14ac:dyDescent="0.4">
      <c r="A1" s="9" t="s">
        <v>28</v>
      </c>
    </row>
    <row r="3" spans="1:2" x14ac:dyDescent="0.4">
      <c r="A3" s="9" t="s">
        <v>29</v>
      </c>
    </row>
    <row r="4" spans="1:2" x14ac:dyDescent="0.4">
      <c r="A4" t="s">
        <v>30</v>
      </c>
      <c r="B4" s="15">
        <v>0.09</v>
      </c>
    </row>
    <row r="5" spans="1:2" x14ac:dyDescent="0.4">
      <c r="A5" t="s">
        <v>31</v>
      </c>
      <c r="B5" s="16">
        <v>2</v>
      </c>
    </row>
    <row r="6" spans="1:2" x14ac:dyDescent="0.4">
      <c r="A6" t="s">
        <v>32</v>
      </c>
      <c r="B6" s="15">
        <v>7.5999999999999998E-2</v>
      </c>
    </row>
    <row r="7" spans="1:2" x14ac:dyDescent="0.4">
      <c r="A7" t="s">
        <v>33</v>
      </c>
      <c r="B7" s="17">
        <v>100</v>
      </c>
    </row>
    <row r="8" spans="1:2" x14ac:dyDescent="0.4">
      <c r="A8" t="s">
        <v>34</v>
      </c>
      <c r="B8" s="16">
        <v>13</v>
      </c>
    </row>
    <row r="9" spans="1:2" x14ac:dyDescent="0.4">
      <c r="A9" t="s">
        <v>35</v>
      </c>
      <c r="B9" s="12">
        <f>3/180</f>
        <v>1.6666666666666666E-2</v>
      </c>
    </row>
    <row r="11" spans="1:2" x14ac:dyDescent="0.4">
      <c r="A11" s="9" t="s">
        <v>36</v>
      </c>
    </row>
    <row r="12" spans="1:2" x14ac:dyDescent="0.4">
      <c r="A12" t="s">
        <v>37</v>
      </c>
      <c r="B12" s="18">
        <f>B4/B5</f>
        <v>4.4999999999999998E-2</v>
      </c>
    </row>
    <row r="13" spans="1:2" x14ac:dyDescent="0.4">
      <c r="A13" t="s">
        <v>38</v>
      </c>
      <c r="B13" s="18">
        <f>B6/B5</f>
        <v>3.7999999999999999E-2</v>
      </c>
    </row>
    <row r="14" spans="1:2" x14ac:dyDescent="0.4">
      <c r="A14" t="s">
        <v>39</v>
      </c>
      <c r="B14" s="12">
        <f>(1-(1+B13)^(-B8))/B13</f>
        <v>10.110723341038572</v>
      </c>
    </row>
    <row r="15" spans="1:2" x14ac:dyDescent="0.4">
      <c r="A15" t="s">
        <v>40</v>
      </c>
      <c r="B15" s="14">
        <f>(1+B13)^B9*(B7+B7*(B12-B13)*B14)</f>
        <v>107.14408602321811</v>
      </c>
    </row>
    <row r="16" spans="1:2" x14ac:dyDescent="0.4">
      <c r="A16" t="s">
        <v>41</v>
      </c>
      <c r="B16" s="14">
        <f>B9*B7*B12</f>
        <v>7.4999999999999997E-2</v>
      </c>
    </row>
    <row r="17" spans="1:2" x14ac:dyDescent="0.4">
      <c r="A17" t="s">
        <v>42</v>
      </c>
      <c r="B17" s="14">
        <f>B15-B16</f>
        <v>107.06908602321811</v>
      </c>
    </row>
    <row r="19" spans="1:2" x14ac:dyDescent="0.4">
      <c r="A19" s="9" t="s">
        <v>43</v>
      </c>
    </row>
    <row r="20" spans="1:2" x14ac:dyDescent="0.4">
      <c r="A20" t="s">
        <v>44</v>
      </c>
      <c r="B20" s="15">
        <v>8.5999999999999993E-2</v>
      </c>
    </row>
    <row r="21" spans="1:2" x14ac:dyDescent="0.4">
      <c r="A21" t="s">
        <v>45</v>
      </c>
      <c r="B21" s="13">
        <f>2*((1+B20/12)^12)^0.5-2</f>
        <v>8.755563621790019E-2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 2 - Amortization</vt:lpstr>
      <vt:lpstr>Case 3 - Z Spread</vt:lpstr>
      <vt:lpstr>Case 3 - Bootstrap</vt:lpstr>
      <vt:lpstr>Case 3 - Q2 Q3</vt:lpstr>
      <vt:lpstr>Case 1 - Bond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Feng</dc:creator>
  <cp:lastModifiedBy>Jian Feng</cp:lastModifiedBy>
  <dcterms:created xsi:type="dcterms:W3CDTF">2026-09-23T18:29:51Z</dcterms:created>
  <dcterms:modified xsi:type="dcterms:W3CDTF">2026-10-01T03:15:42Z</dcterms:modified>
</cp:coreProperties>
</file>